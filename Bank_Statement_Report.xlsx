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Summary" sheetId="3" state="visible" r:id="rId3"/>
    <sheet name="Categories" sheetId="4" state="visible" r:id="rId4"/>
    <sheet name="Top Merchants" sheetId="5" state="visible" r:id="rId5"/>
    <sheet name="Anomalies" sheetId="6" state="visible" r:id="rId6"/>
  </sheets>
  <definedNames>
    <definedName name="_xlnm._FilterDatabase" localSheetId="1" hidden="1">'Transactions'!$A$1:$J$1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"/>
    <numFmt numFmtId="166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2471A3"/>
      <sz val="14"/>
    </font>
    <font>
      <name val="Arial"/>
      <b val="1"/>
      <sz val="10"/>
    </font>
    <font>
      <name val="Arial"/>
      <color rgb="001E8449"/>
      <sz val="10"/>
    </font>
    <font>
      <name val="Arial"/>
      <color rgb="00C0392B"/>
      <sz val="10"/>
    </font>
    <font>
      <name val="Arial"/>
      <b val="1"/>
      <color rgb="00C0392B"/>
      <sz val="10"/>
    </font>
    <font>
      <name val="Arial"/>
      <color rgb="002471A3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0392B"/>
      <sz val="9"/>
    </font>
    <font>
      <name val="Arial"/>
      <b val="1"/>
      <color rgb="00922B21"/>
      <sz val="9"/>
    </font>
    <font>
      <name val="Arial"/>
      <color rgb="001E8449"/>
      <sz val="9"/>
    </font>
    <font>
      <name val="Arial"/>
      <b val="1"/>
      <color rgb="00C0392B"/>
      <sz val="9"/>
    </font>
    <font>
      <name val="Arial"/>
      <b val="1"/>
      <color rgb="00922B21"/>
      <sz val="12"/>
    </font>
    <font>
      <name val="Arial"/>
      <color rgb="00222222"/>
      <sz val="10"/>
    </font>
    <font>
      <name val="Arial"/>
      <i val="1"/>
      <color rgb="00555555"/>
      <sz val="10"/>
    </font>
    <font>
      <name val="Arial"/>
      <b val="1"/>
      <color rgb="00444444"/>
      <sz val="10"/>
    </font>
    <font>
      <name val="Arial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FF4F9"/>
      </patternFill>
    </fill>
    <fill>
      <patternFill patternType="solid">
        <fgColor rgb="00FDECEA"/>
      </patternFill>
    </fill>
    <fill>
      <patternFill patternType="solid">
        <fgColor rgb="00FFF8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164" fontId="9" fillId="3" borderId="1" applyAlignment="1" pivotButton="0" quotePrefix="0" xfId="0">
      <alignment vertical="center"/>
    </xf>
    <xf numFmtId="164" fontId="8" fillId="3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6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164" fontId="9" fillId="4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164" fontId="11" fillId="3" borderId="1" applyAlignment="1" pivotButton="0" quotePrefix="0" xfId="0">
      <alignment vertical="center"/>
    </xf>
    <xf numFmtId="164" fontId="12" fillId="3" borderId="1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4" fontId="10" fillId="4" borderId="1" applyAlignment="1" pivotButton="0" quotePrefix="0" xfId="0">
      <alignment vertical="center"/>
    </xf>
    <xf numFmtId="0" fontId="16" fillId="0" borderId="0" pivotButton="0" quotePrefix="0" xfId="0"/>
    <xf numFmtId="0" fontId="1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 vs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Summary'!B1</f>
            </strRef>
          </tx>
          <spPr>
            <a:solidFill>
              <a:srgbClr val="1E8449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'Monthly Summary'!$A$2</f>
            </numRef>
          </cat>
          <val>
            <numRef>
              <f>'Monthly Summary'!$B$2</f>
            </numRef>
          </val>
        </ser>
        <ser>
          <idx val="1"/>
          <order val="1"/>
          <tx>
            <strRef>
              <f>'Monthly Summary'!C1</f>
            </strRef>
          </tx>
          <spPr>
            <a:solidFill>
              <a:srgbClr val="C0392B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'Monthly Summary'!$A$2</f>
            </numRef>
          </cat>
          <val>
            <numRef>
              <f>'Monthly Summary'!$C$2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'Categories'!$A$2:$A$5</f>
            </numRef>
          </cat>
          <val>
            <numRef>
              <f>'Categories'!$B$2:$B$5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Merchants by Spend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Merchants'!B1</f>
            </strRef>
          </tx>
          <spPr>
            <a:solidFill>
              <a:srgbClr val="2471A3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'Top Merchants'!$A$2:$A$11</f>
            </numRef>
          </cat>
          <val>
            <numRef>
              <f>'Top Merchants'!$B$2:$B$11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Spent (Rs.)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Merchant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HDFC Bank Statement — Analysis</t>
        </is>
      </c>
    </row>
    <row r="3">
      <c r="A3" s="2" t="inlineStr">
        <is>
          <t>Total Income</t>
        </is>
      </c>
      <c r="B3" s="3" t="n">
        <v>0</v>
      </c>
    </row>
    <row r="4">
      <c r="A4" s="2" t="inlineStr">
        <is>
          <t>Total Expenses</t>
        </is>
      </c>
      <c r="B4" s="4" t="n">
        <v>15671.87</v>
      </c>
    </row>
    <row r="5">
      <c r="A5" s="2" t="inlineStr">
        <is>
          <t>Net Cash Flow</t>
        </is>
      </c>
      <c r="B5" s="5" t="n">
        <v>-15671.87</v>
      </c>
    </row>
    <row r="6">
      <c r="A6" s="2" t="inlineStr">
        <is>
          <t>Total Transactions</t>
        </is>
      </c>
      <c r="B6" s="6" t="n">
        <v>18</v>
      </c>
    </row>
    <row r="7">
      <c r="A7" s="2" t="inlineStr">
        <is>
          <t>Expense Transactions</t>
        </is>
      </c>
      <c r="B7" s="7" t="n">
        <v>18</v>
      </c>
    </row>
    <row r="8">
      <c r="A8" s="2" t="inlineStr">
        <is>
          <t>Income Transactions</t>
        </is>
      </c>
      <c r="B8" s="8" t="n">
        <v>0</v>
      </c>
    </row>
    <row r="9">
      <c r="A9" s="2" t="inlineStr">
        <is>
          <t>Avg Expense</t>
        </is>
      </c>
      <c r="B9" s="4" t="n">
        <v>870.6594444444445</v>
      </c>
    </row>
    <row r="10">
      <c r="A10" s="2" t="inlineStr">
        <is>
          <t>Largest Expense</t>
        </is>
      </c>
      <c r="B10" s="4" t="n">
        <v>8388.870000000001</v>
      </c>
    </row>
    <row r="11">
      <c r="A11" s="2" t="inlineStr">
        <is>
          <t>Largest Credit</t>
        </is>
      </c>
      <c r="B11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  <col width="8" customWidth="1" min="10" max="10"/>
  </cols>
  <sheetData>
    <row r="1" ht="28" customHeight="1">
      <c r="A1" s="9" t="inlineStr">
        <is>
          <t>Date</t>
        </is>
      </c>
      <c r="B1" s="9" t="inlineStr">
        <is>
          <t>Merchant</t>
        </is>
      </c>
      <c r="C1" s="9" t="inlineStr">
        <is>
          <t>Narration</t>
        </is>
      </c>
      <c r="D1" s="9" t="inlineStr">
        <is>
          <t>Ref No</t>
        </is>
      </c>
      <c r="E1" s="9" t="inlineStr">
        <is>
          <t>Value Date</t>
        </is>
      </c>
      <c r="F1" s="9" t="inlineStr">
        <is>
          <t>Debit (₹)</t>
        </is>
      </c>
      <c r="G1" s="9" t="inlineStr">
        <is>
          <t>Credit (₹)</t>
        </is>
      </c>
      <c r="H1" s="9" t="inlineStr">
        <is>
          <t>Balance (₹)</t>
        </is>
      </c>
      <c r="I1" s="9" t="inlineStr">
        <is>
          <t>Category</t>
        </is>
      </c>
      <c r="J1" s="9" t="inlineStr">
        <is>
          <t>Flag</t>
        </is>
      </c>
    </row>
    <row r="2">
      <c r="A2" s="10" t="n">
        <v>46082</v>
      </c>
      <c r="B2" s="11" t="inlineStr">
        <is>
          <t>Adyaranandabhavan</t>
        </is>
      </c>
      <c r="C2" s="11" t="inlineStr">
        <is>
          <t>UPI-ADYARANANDABHAVAN -ADYARANANDABHAV ANSWE.63253823@HDFCBANK-HDFC0MERUPI-6426 25972044-PAIDVIACRED</t>
        </is>
      </c>
      <c r="D2" s="11" t="inlineStr">
        <is>
          <t>0000642625972044</t>
        </is>
      </c>
      <c r="E2" s="10" t="n">
        <v>46082</v>
      </c>
      <c r="F2" s="12" t="n">
        <v>223</v>
      </c>
      <c r="G2" s="13" t="n"/>
      <c r="H2" s="13" t="n">
        <v>104288.31</v>
      </c>
      <c r="I2" s="11" t="inlineStr">
        <is>
          <t>Other Expense</t>
        </is>
      </c>
      <c r="J2" s="11" t="inlineStr"/>
    </row>
    <row r="3">
      <c r="A3" s="14" t="n">
        <v>46082</v>
      </c>
      <c r="B3" s="15" t="inlineStr">
        <is>
          <t>Jjjhotel</t>
        </is>
      </c>
      <c r="C3" s="15" t="inlineStr">
        <is>
          <t>UPI-JJJHOTEL-7418500300-1@OKBIZAXIS-UTI B0000553-642623037522-PAIDVIACRED</t>
        </is>
      </c>
      <c r="D3" s="15" t="inlineStr">
        <is>
          <t>0000642623037522</t>
        </is>
      </c>
      <c r="E3" s="14" t="n">
        <v>46082</v>
      </c>
      <c r="F3" s="16" t="n">
        <v>150</v>
      </c>
      <c r="G3" s="17" t="n"/>
      <c r="H3" s="17" t="n">
        <v>104138.31</v>
      </c>
      <c r="I3" s="15" t="inlineStr">
        <is>
          <t>Other Expense</t>
        </is>
      </c>
      <c r="J3" s="15" t="inlineStr"/>
    </row>
    <row r="4">
      <c r="A4" s="10" t="n">
        <v>46082</v>
      </c>
      <c r="B4" s="11" t="inlineStr">
        <is>
          <t>Jjjstore</t>
        </is>
      </c>
      <c r="C4" s="11" t="inlineStr">
        <is>
          <t>UPI-JJJSTORE-GPAY-11257048082@OKBIZAXIS -UTIB0000553-642602111820-PAIDVIACRED</t>
        </is>
      </c>
      <c r="D4" s="11" t="inlineStr">
        <is>
          <t>0000642602111820</t>
        </is>
      </c>
      <c r="E4" s="10" t="n">
        <v>46082</v>
      </c>
      <c r="F4" s="12" t="n">
        <v>15</v>
      </c>
      <c r="G4" s="13" t="n"/>
      <c r="H4" s="13" t="n">
        <v>104123.31</v>
      </c>
      <c r="I4" s="11" t="inlineStr">
        <is>
          <t>Other Expense</t>
        </is>
      </c>
      <c r="J4" s="11" t="inlineStr"/>
    </row>
    <row r="5">
      <c r="A5" s="14" t="n">
        <v>46082</v>
      </c>
      <c r="B5" s="15" t="inlineStr">
        <is>
          <t>Mohammedshafi K</t>
        </is>
      </c>
      <c r="C5" s="15" t="inlineStr">
        <is>
          <t>UPI-MOHAMMEDSHAFI K-PAYTMQR6TZL8K@PTYS- YESB0PTMUPI-642602114884-PAIDVIACRED</t>
        </is>
      </c>
      <c r="D5" s="15" t="inlineStr">
        <is>
          <t>0000642602114884</t>
        </is>
      </c>
      <c r="E5" s="14" t="n">
        <v>46082</v>
      </c>
      <c r="F5" s="16" t="n">
        <v>10</v>
      </c>
      <c r="G5" s="17" t="n"/>
      <c r="H5" s="17" t="n">
        <v>104113.31</v>
      </c>
      <c r="I5" s="15" t="inlineStr">
        <is>
          <t>Other Expense</t>
        </is>
      </c>
      <c r="J5" s="15" t="inlineStr"/>
    </row>
    <row r="6">
      <c r="A6" s="10" t="n">
        <v>46082</v>
      </c>
      <c r="B6" s="11" t="inlineStr">
        <is>
          <t>Jjjstore</t>
        </is>
      </c>
      <c r="C6" s="11" t="inlineStr">
        <is>
          <t>UPI-JJJSTORE-GPAY-11257048082@OKBIZAXIS -UTIB0000553-642605107393-PAIDVIACRED</t>
        </is>
      </c>
      <c r="D6" s="11" t="inlineStr">
        <is>
          <t>0000642605107393</t>
        </is>
      </c>
      <c r="E6" s="10" t="n">
        <v>46082</v>
      </c>
      <c r="F6" s="12" t="n">
        <v>155</v>
      </c>
      <c r="G6" s="13" t="n"/>
      <c r="H6" s="13" t="n">
        <v>103958.31</v>
      </c>
      <c r="I6" s="11" t="inlineStr">
        <is>
          <t>Other Expense</t>
        </is>
      </c>
      <c r="J6" s="11" t="inlineStr"/>
    </row>
    <row r="7">
      <c r="A7" s="14" t="n">
        <v>46082</v>
      </c>
      <c r="B7" s="15" t="inlineStr">
        <is>
          <t>Chaikings Chromepet</t>
        </is>
      </c>
      <c r="C7" s="15" t="inlineStr">
        <is>
          <t>UPI-CHAIKINGS CHROMEPET-CHAIKINGSCHROME PETSB.96133366@HDFCBANK-HDFC0MERUPI-6426 11158671-PAIDVIACRED</t>
        </is>
      </c>
      <c r="D7" s="15" t="inlineStr">
        <is>
          <t>0000642611158671</t>
        </is>
      </c>
      <c r="E7" s="14" t="n">
        <v>46082</v>
      </c>
      <c r="F7" s="16" t="n">
        <v>82</v>
      </c>
      <c r="G7" s="17" t="n"/>
      <c r="H7" s="17" t="n">
        <v>103876.31</v>
      </c>
      <c r="I7" s="15" t="inlineStr">
        <is>
          <t>Other Expense</t>
        </is>
      </c>
      <c r="J7" s="15" t="inlineStr"/>
    </row>
    <row r="8">
      <c r="A8" s="10" t="n">
        <v>46082</v>
      </c>
      <c r="B8" s="11" t="inlineStr">
        <is>
          <t>Amazonpay Groceries</t>
        </is>
      </c>
      <c r="C8" s="11" t="inlineStr">
        <is>
          <t>UPI-AMAZONPAY GROCERIES-AMAZONPAYGROCER Y@RAPL-RATN000RAPL-606051729950-REQUEST FROMAMAZO</t>
        </is>
      </c>
      <c r="D8" s="11" t="inlineStr">
        <is>
          <t>0000606051729950</t>
        </is>
      </c>
      <c r="E8" s="10" t="n">
        <v>46083</v>
      </c>
      <c r="F8" s="12" t="n">
        <v>362</v>
      </c>
      <c r="G8" s="13" t="n"/>
      <c r="H8" s="13" t="n">
        <v>103514.31</v>
      </c>
      <c r="I8" s="11" t="inlineStr">
        <is>
          <t>Shopping</t>
        </is>
      </c>
      <c r="J8" s="11" t="inlineStr"/>
    </row>
    <row r="9">
      <c r="A9" s="14" t="n">
        <v>46083</v>
      </c>
      <c r="B9" s="15" t="inlineStr">
        <is>
          <t>Jjjhotel</t>
        </is>
      </c>
      <c r="C9" s="15" t="inlineStr">
        <is>
          <t>UPI-JJJHOTEL-GPAY-11240922632@OKBIZAXIS -UTIB0000553-642728218961-PAIDVIACRED</t>
        </is>
      </c>
      <c r="D9" s="15" t="inlineStr">
        <is>
          <t>0000642728218961</t>
        </is>
      </c>
      <c r="E9" s="14" t="n">
        <v>46083</v>
      </c>
      <c r="F9" s="16" t="n">
        <v>310</v>
      </c>
      <c r="G9" s="17" t="n"/>
      <c r="H9" s="17" t="n">
        <v>103204.31</v>
      </c>
      <c r="I9" s="15" t="inlineStr">
        <is>
          <t>Other Expense</t>
        </is>
      </c>
      <c r="J9" s="15" t="inlineStr"/>
    </row>
    <row r="10">
      <c r="A10" s="10" t="n">
        <v>46083</v>
      </c>
      <c r="B10" s="11" t="inlineStr">
        <is>
          <t>Jjjstore</t>
        </is>
      </c>
      <c r="C10" s="11" t="inlineStr">
        <is>
          <t>UPI-JJJSTORE-GPAY-11257048082@OKBIZAXIS -UTIB0000553-642701225251-PAIDVIACRED</t>
        </is>
      </c>
      <c r="D10" s="11" t="inlineStr">
        <is>
          <t>0000642701225251</t>
        </is>
      </c>
      <c r="E10" s="10" t="n">
        <v>46083</v>
      </c>
      <c r="F10" s="12" t="n">
        <v>24</v>
      </c>
      <c r="G10" s="13" t="n"/>
      <c r="H10" s="13" t="n">
        <v>103180.31</v>
      </c>
      <c r="I10" s="11" t="inlineStr">
        <is>
          <t>Other Expense</t>
        </is>
      </c>
      <c r="J10" s="11" t="inlineStr"/>
    </row>
    <row r="11">
      <c r="A11" s="18" t="n">
        <v>46083</v>
      </c>
      <c r="B11" s="19" t="inlineStr">
        <is>
          <t>Lazypayrepayment Nb</t>
        </is>
      </c>
      <c r="C11" s="19" t="inlineStr">
        <is>
          <t>UPI-LAZYPAYREPAYMENT NB-LAZYPAYREPAYMEN .PAYU@MAIRTEL-AIRP0000001-642703244400-L AZYPAYREPAYMENT</t>
        </is>
      </c>
      <c r="D11" s="19" t="inlineStr">
        <is>
          <t>0000642703244400</t>
        </is>
      </c>
      <c r="E11" s="18" t="n">
        <v>46083</v>
      </c>
      <c r="F11" s="20" t="n">
        <v>8388.870000000001</v>
      </c>
      <c r="G11" s="21" t="n"/>
      <c r="H11" s="21" t="n">
        <v>94791.44</v>
      </c>
      <c r="I11" s="19" t="inlineStr">
        <is>
          <t>Bills &amp; Utilities</t>
        </is>
      </c>
      <c r="J11" s="22" t="inlineStr">
        <is>
          <t>⚠</t>
        </is>
      </c>
    </row>
    <row r="12">
      <c r="A12" s="10" t="n">
        <v>46083</v>
      </c>
      <c r="B12" s="11" t="inlineStr">
        <is>
          <t>Jjjcafe</t>
        </is>
      </c>
      <c r="C12" s="11" t="inlineStr">
        <is>
          <t>UPI-JJJCAFE-GPAY-11265462484@OKBIZAXIS-</t>
        </is>
      </c>
      <c r="D12" s="11" t="inlineStr">
        <is>
          <t>0000642723279671</t>
        </is>
      </c>
      <c r="E12" s="10" t="n">
        <v>46083</v>
      </c>
      <c r="F12" s="12" t="n">
        <v>180</v>
      </c>
      <c r="G12" s="13" t="n"/>
      <c r="H12" s="13" t="n">
        <v>94611.44</v>
      </c>
      <c r="I12" s="11" t="inlineStr">
        <is>
          <t>Food &amp; Dining</t>
        </is>
      </c>
      <c r="J12" s="11" t="inlineStr"/>
    </row>
    <row r="13">
      <c r="A13" s="14" t="n">
        <v>46083</v>
      </c>
      <c r="B13" s="15" t="inlineStr">
        <is>
          <t>Jjjstore</t>
        </is>
      </c>
      <c r="C13" s="15" t="inlineStr">
        <is>
          <t>UPI-JJJSTORE-GPAY-11257048082@OKBIZAXIS -UTIB0000553-642706280306-PAIDVIACRED</t>
        </is>
      </c>
      <c r="D13" s="15" t="inlineStr">
        <is>
          <t>0000642706280306</t>
        </is>
      </c>
      <c r="E13" s="14" t="n">
        <v>46083</v>
      </c>
      <c r="F13" s="16" t="n">
        <v>36</v>
      </c>
      <c r="G13" s="17" t="n"/>
      <c r="H13" s="17" t="n">
        <v>94575.44</v>
      </c>
      <c r="I13" s="15" t="inlineStr">
        <is>
          <t>Other Expense</t>
        </is>
      </c>
      <c r="J13" s="15" t="inlineStr"/>
    </row>
    <row r="14">
      <c r="A14" s="10" t="n">
        <v>46084</v>
      </c>
      <c r="B14" s="11" t="inlineStr">
        <is>
          <t>Gonguraa</t>
        </is>
      </c>
      <c r="C14" s="11" t="inlineStr">
        <is>
          <t>UPI-GONGURAA-PAYTMQR57V5SO@PAYTM-YESB0PT MUPI-642830424575-PAIDVIACRED</t>
        </is>
      </c>
      <c r="D14" s="11" t="inlineStr">
        <is>
          <t>0000642830424575</t>
        </is>
      </c>
      <c r="E14" s="10" t="n">
        <v>46084</v>
      </c>
      <c r="F14" s="12" t="n">
        <v>200</v>
      </c>
      <c r="G14" s="13" t="n"/>
      <c r="H14" s="13" t="n">
        <v>94375.44</v>
      </c>
      <c r="I14" s="11" t="inlineStr">
        <is>
          <t>Food &amp; Dining</t>
        </is>
      </c>
      <c r="J14" s="11" t="inlineStr"/>
    </row>
    <row r="15">
      <c r="A15" s="14" t="n">
        <v>46084</v>
      </c>
      <c r="B15" s="15" t="inlineStr">
        <is>
          <t>Icicilomgicltd</t>
        </is>
      </c>
      <c r="C15" s="15" t="inlineStr">
        <is>
          <t>UPI-ICICILOMGICLTD-ICICILOMBARD2@ICIC I-ICIC0DC0099-642804462342-O6DDPR9DUM7WV D</t>
        </is>
      </c>
      <c r="D15" s="15" t="inlineStr">
        <is>
          <t>0000642804462342</t>
        </is>
      </c>
      <c r="E15" s="14" t="n">
        <v>46084</v>
      </c>
      <c r="F15" s="16" t="n">
        <v>2132</v>
      </c>
      <c r="G15" s="17" t="n"/>
      <c r="H15" s="17" t="n">
        <v>92243.44</v>
      </c>
      <c r="I15" s="15" t="inlineStr">
        <is>
          <t>Other Expense</t>
        </is>
      </c>
      <c r="J15" s="15" t="inlineStr"/>
    </row>
    <row r="16">
      <c r="A16" s="10" t="n">
        <v>46084</v>
      </c>
      <c r="B16" s="11" t="inlineStr">
        <is>
          <t>Tea Time</t>
        </is>
      </c>
      <c r="C16" s="11" t="inlineStr">
        <is>
          <t>UPI-TEA TIME-PAYTM.S20TAGJ@PTY-YESB0MCHU PI-642829460093-PAIDVIACRED</t>
        </is>
      </c>
      <c r="D16" s="11" t="inlineStr">
        <is>
          <t>0000642829460093</t>
        </is>
      </c>
      <c r="E16" s="10" t="n">
        <v>46084</v>
      </c>
      <c r="F16" s="12" t="n">
        <v>70</v>
      </c>
      <c r="G16" s="13" t="n"/>
      <c r="H16" s="13" t="n">
        <v>92173.44</v>
      </c>
      <c r="I16" s="11" t="inlineStr">
        <is>
          <t>Food &amp; Dining</t>
        </is>
      </c>
      <c r="J16" s="11" t="inlineStr"/>
    </row>
    <row r="17">
      <c r="A17" s="14" t="n">
        <v>46084</v>
      </c>
      <c r="B17" s="15" t="inlineStr">
        <is>
          <t>Hotchips Restaurant</t>
        </is>
      </c>
      <c r="C17" s="15" t="inlineStr">
        <is>
          <t>UPI-HOTCHIPS RESTAURANT-PAYTMQR111AIHOB G1@PAYTM-YESB0PTMUPI-642819457551-PAIDV IACRED</t>
        </is>
      </c>
      <c r="D17" s="15" t="inlineStr">
        <is>
          <t>0000642819457551</t>
        </is>
      </c>
      <c r="E17" s="14" t="n">
        <v>46084</v>
      </c>
      <c r="F17" s="16" t="n">
        <v>38</v>
      </c>
      <c r="G17" s="17" t="n"/>
      <c r="H17" s="17" t="n">
        <v>92135.44</v>
      </c>
      <c r="I17" s="15" t="inlineStr">
        <is>
          <t>Food &amp; Dining</t>
        </is>
      </c>
      <c r="J17" s="15" t="inlineStr"/>
    </row>
    <row r="18">
      <c r="A18" s="10" t="n">
        <v>46084</v>
      </c>
      <c r="B18" s="11" t="inlineStr">
        <is>
          <t>Max Retail</t>
        </is>
      </c>
      <c r="C18" s="11" t="inlineStr">
        <is>
          <t>UPI-MAX RETAIL-LANDMARKMAXRETAIL@YBL-YES B0YBLUPI-642803497395-PAYMENTFOR122971</t>
        </is>
      </c>
      <c r="D18" s="11" t="inlineStr">
        <is>
          <t>0000642803497395</t>
        </is>
      </c>
      <c r="E18" s="10" t="n">
        <v>46084</v>
      </c>
      <c r="F18" s="12" t="n">
        <v>2944</v>
      </c>
      <c r="G18" s="13" t="n"/>
      <c r="H18" s="13" t="n">
        <v>89191.44</v>
      </c>
      <c r="I18" s="11" t="inlineStr">
        <is>
          <t>Shopping</t>
        </is>
      </c>
      <c r="J18" s="11" t="inlineStr"/>
    </row>
    <row r="19">
      <c r="A19" s="14" t="n">
        <v>46084</v>
      </c>
      <c r="B19" s="15" t="inlineStr">
        <is>
          <t>Adyaranandabhavan</t>
        </is>
      </c>
      <c r="C19" s="15" t="inlineStr">
        <is>
          <t>UPI-ADYARANANDABHAVAN -AMZNPLA2B100314 @YAPL-YESB0APLUPI-642805505995-PAIDVIA CRED 104,511.31</t>
        </is>
      </c>
      <c r="D19" s="15" t="inlineStr">
        <is>
          <t>0000642805505995</t>
        </is>
      </c>
      <c r="E19" s="14" t="n">
        <v>46084</v>
      </c>
      <c r="F19" s="16" t="n">
        <v>352</v>
      </c>
      <c r="G19" s="17" t="n"/>
      <c r="H19" s="17" t="n">
        <v>88839.44</v>
      </c>
      <c r="I19" s="15" t="inlineStr">
        <is>
          <t>Other Expense</t>
        </is>
      </c>
      <c r="J19" s="15" t="inlineStr"/>
    </row>
  </sheetData>
  <autoFilter ref="A1:J1"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Month</t>
        </is>
      </c>
      <c r="B1" s="9" t="inlineStr">
        <is>
          <t>Income (₹)</t>
        </is>
      </c>
      <c r="C1" s="9" t="inlineStr">
        <is>
          <t>Expense (₹)</t>
        </is>
      </c>
      <c r="D1" s="9" t="inlineStr">
        <is>
          <t>Net (₹)</t>
        </is>
      </c>
    </row>
    <row r="2">
      <c r="A2" s="11" t="inlineStr">
        <is>
          <t>Mar 2026</t>
        </is>
      </c>
      <c r="B2" s="23" t="n">
        <v>0</v>
      </c>
      <c r="C2" s="12" t="n">
        <v>15671.87</v>
      </c>
      <c r="D2" s="24" t="n">
        <v>-15671.87</v>
      </c>
    </row>
  </sheetData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</cols>
  <sheetData>
    <row r="1">
      <c r="A1" s="9" t="inlineStr">
        <is>
          <t>Category</t>
        </is>
      </c>
      <c r="B1" s="9" t="inlineStr">
        <is>
          <t>Total (₹)</t>
        </is>
      </c>
      <c r="C1" s="9" t="inlineStr">
        <is>
          <t>Transactions</t>
        </is>
      </c>
    </row>
    <row r="2">
      <c r="A2" s="11" t="inlineStr">
        <is>
          <t>Bills &amp; Utilities</t>
        </is>
      </c>
      <c r="B2" s="13" t="n">
        <v>8388.870000000001</v>
      </c>
      <c r="C2" s="11" t="n">
        <v>1</v>
      </c>
    </row>
    <row r="3">
      <c r="A3" s="15" t="inlineStr">
        <is>
          <t>Other Expense</t>
        </is>
      </c>
      <c r="B3" s="17" t="n">
        <v>3489</v>
      </c>
      <c r="C3" s="15" t="n">
        <v>11</v>
      </c>
    </row>
    <row r="4">
      <c r="A4" s="11" t="inlineStr">
        <is>
          <t>Shopping</t>
        </is>
      </c>
      <c r="B4" s="13" t="n">
        <v>3306</v>
      </c>
      <c r="C4" s="11" t="n">
        <v>2</v>
      </c>
    </row>
    <row r="5">
      <c r="A5" s="15" t="inlineStr">
        <is>
          <t>Food &amp; Dining</t>
        </is>
      </c>
      <c r="B5" s="17" t="n">
        <v>488</v>
      </c>
      <c r="C5" s="15" t="n">
        <v>4</v>
      </c>
    </row>
  </sheetData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9" t="inlineStr">
        <is>
          <t>Merchant</t>
        </is>
      </c>
      <c r="B1" s="9" t="inlineStr">
        <is>
          <t>Total Spend (Rs.)</t>
        </is>
      </c>
    </row>
    <row r="2">
      <c r="A2" s="11" t="inlineStr">
        <is>
          <t>Lazypayrepayment Nb</t>
        </is>
      </c>
      <c r="B2" s="13" t="n">
        <v>8388.870000000001</v>
      </c>
    </row>
    <row r="3">
      <c r="A3" s="15" t="inlineStr">
        <is>
          <t>Max Retail</t>
        </is>
      </c>
      <c r="B3" s="17" t="n">
        <v>2944</v>
      </c>
    </row>
    <row r="4">
      <c r="A4" s="11" t="inlineStr">
        <is>
          <t>Icicilomgicltd</t>
        </is>
      </c>
      <c r="B4" s="13" t="n">
        <v>2132</v>
      </c>
    </row>
    <row r="5">
      <c r="A5" s="15" t="inlineStr">
        <is>
          <t>Adyaranandabhavan</t>
        </is>
      </c>
      <c r="B5" s="17" t="n">
        <v>575</v>
      </c>
    </row>
    <row r="6">
      <c r="A6" s="11" t="inlineStr">
        <is>
          <t>Jjjhotel</t>
        </is>
      </c>
      <c r="B6" s="13" t="n">
        <v>460</v>
      </c>
    </row>
    <row r="7">
      <c r="A7" s="15" t="inlineStr">
        <is>
          <t>Amazonpay Groceries</t>
        </is>
      </c>
      <c r="B7" s="17" t="n">
        <v>362</v>
      </c>
    </row>
    <row r="8">
      <c r="A8" s="11" t="inlineStr">
        <is>
          <t>Jjjstore</t>
        </is>
      </c>
      <c r="B8" s="13" t="n">
        <v>230</v>
      </c>
    </row>
    <row r="9">
      <c r="A9" s="15" t="inlineStr">
        <is>
          <t>Gonguraa</t>
        </is>
      </c>
      <c r="B9" s="17" t="n">
        <v>200</v>
      </c>
    </row>
    <row r="10">
      <c r="A10" s="11" t="inlineStr">
        <is>
          <t>Jjjcafe</t>
        </is>
      </c>
      <c r="B10" s="13" t="n">
        <v>180</v>
      </c>
    </row>
    <row r="11">
      <c r="A11" s="15" t="inlineStr">
        <is>
          <t>Chaikings Chromepet</t>
        </is>
      </c>
      <c r="B11" s="17" t="n">
        <v>82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16" customWidth="1" min="4" max="4"/>
    <col width="22" customWidth="1" min="5" max="5"/>
  </cols>
  <sheetData>
    <row r="1" ht="20" customHeight="1">
      <c r="A1" s="25" t="inlineStr">
        <is>
          <t>Unusual Transactions — These payments are much larger than normal</t>
        </is>
      </c>
    </row>
    <row r="2" ht="16" customHeight="1">
      <c r="A2" s="26" t="inlineStr">
        <is>
          <t>How this works: We looked at all 18 expense transactions in your statement.</t>
        </is>
      </c>
    </row>
    <row r="3" ht="16" customHeight="1">
      <c r="A3" s="27" t="inlineStr">
        <is>
          <t>Your typical (average) transaction is Rs. 871.</t>
        </is>
      </c>
    </row>
    <row r="4" ht="16" customHeight="1">
      <c r="A4" s="27" t="inlineStr">
        <is>
          <t>Transactions more than Rs. 4,828 are flagged below — these stand out as unusually large.</t>
        </is>
      </c>
    </row>
    <row r="5" ht="16" customHeight="1">
      <c r="A5" s="27" t="inlineStr">
        <is>
          <t>This helps you spot: accidental double payments, fraud, or big spends you may have forgotten.</t>
        </is>
      </c>
    </row>
    <row r="6" ht="8" customHeight="1"/>
    <row r="7">
      <c r="A7" s="9" t="inlineStr">
        <is>
          <t>Date</t>
        </is>
      </c>
      <c r="B7" s="9" t="inlineStr">
        <is>
          <t>Who was paid</t>
        </is>
      </c>
      <c r="C7" s="9" t="inlineStr">
        <is>
          <t>Full narration</t>
        </is>
      </c>
      <c r="D7" s="9" t="inlineStr">
        <is>
          <t>Amount paid (Rs.)</t>
        </is>
      </c>
      <c r="E7" s="9" t="inlineStr">
        <is>
          <t>Category</t>
        </is>
      </c>
    </row>
    <row r="8">
      <c r="A8" s="18" t="n">
        <v>46083</v>
      </c>
      <c r="B8" s="19" t="inlineStr">
        <is>
          <t>Lazypayrepayment Nb</t>
        </is>
      </c>
      <c r="C8" s="19" t="inlineStr">
        <is>
          <t>UPI-LAZYPAYREPAYMENT NB-LAZYPAYREPAYMEN .PAYU@MAIRTEL-AIRP0000001-642703244400-L AZYPAYREPAYMENT</t>
        </is>
      </c>
      <c r="D8" s="28" t="n">
        <v>8388.870000000001</v>
      </c>
      <c r="E8" s="19" t="inlineStr">
        <is>
          <t>Bills &amp; Utilities</t>
        </is>
      </c>
    </row>
    <row r="10">
      <c r="A10" s="29" t="inlineStr">
        <is>
          <t>Why each transaction above was flagged:</t>
        </is>
      </c>
    </row>
    <row r="11" ht="18" customHeight="1">
      <c r="A11" s="30" t="inlineStr">
        <is>
          <t>Lazypayrepayment Nb — Rs. 8,389 on 02 Mar 2026. This is 9.6x your average spend of Rs. 871. Category: Bills &amp; Utilities.</t>
        </is>
      </c>
    </row>
  </sheetData>
  <mergeCells count="7">
    <mergeCell ref="A4:E4"/>
    <mergeCell ref="A2:E2"/>
    <mergeCell ref="A10:E10"/>
    <mergeCell ref="A11:E11"/>
    <mergeCell ref="A1:E1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2026-03-20T16:40:34Z</dcterms:created>
  <dcterms:modified xsi:type="dcterms:W3CDTF">2026-03-20T16:40:34Z</dcterms:modified>
</cp:coreProperties>
</file>